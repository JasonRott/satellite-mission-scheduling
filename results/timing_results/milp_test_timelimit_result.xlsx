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small_1" sheetId="1" state="visible" r:id="rId1"/>
    <sheet name="small_2" sheetId="2" state="visible" r:id="rId2"/>
    <sheet name="medium_1" sheetId="3" state="visible" r:id="rId3"/>
    <sheet name="medium_2" sheetId="4" state="visible" r:id="rId4"/>
    <sheet name="large_1" sheetId="5" state="visible" r:id="rId5"/>
    <sheet name="large_2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  <font>
      <name val="Consolas"/>
      <family val="3"/>
      <color rgb="FFA31515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F5" sqref="F5"/>
    </sheetView>
  </sheetViews>
  <sheetFormatPr baseColWidth="8" defaultRowHeight="15.75"/>
  <sheetData>
    <row r="1">
      <c r="A1" t="inlineStr">
        <is>
          <t>filename</t>
        </is>
      </c>
      <c r="B1" s="1" t="inlineStr">
        <is>
          <t>timelimit</t>
        </is>
      </c>
      <c r="C1" s="1" t="inlineStr">
        <is>
          <t>status</t>
        </is>
      </c>
      <c r="D1" s="1" t="inlineStr">
        <is>
          <t>objective</t>
        </is>
      </c>
      <c r="E1" s="1" t="inlineStr">
        <is>
          <t>gap</t>
        </is>
      </c>
      <c r="F1" s="1" t="inlineStr">
        <is>
          <t>solve_time</t>
        </is>
      </c>
      <c r="G1" s="1" t="inlineStr">
        <is>
          <t>scheduled_count</t>
        </is>
      </c>
      <c r="H1" s="1" t="inlineStr">
        <is>
          <t>iterations</t>
        </is>
      </c>
    </row>
    <row r="2">
      <c r="A2" t="inlineStr">
        <is>
          <t>milp_small_1.xlsx</t>
        </is>
      </c>
      <c r="B2" t="n">
        <v>30</v>
      </c>
      <c r="C2" t="inlineStr">
        <is>
          <t>JobSolveStatus.OPTIMAL_SOLUTION</t>
        </is>
      </c>
      <c r="D2" t="n">
        <v>36320.43910905543</v>
      </c>
      <c r="E2" t="n">
        <v>9.943015918650082e-05</v>
      </c>
      <c r="F2" t="n">
        <v>25.73399999993853</v>
      </c>
      <c r="G2" t="n">
        <v>61</v>
      </c>
      <c r="H2" t="n">
        <v>7748672</v>
      </c>
    </row>
    <row r="3">
      <c r="A3" t="inlineStr">
        <is>
          <t>milp_small_1.xlsx</t>
        </is>
      </c>
      <c r="B3" t="n">
        <v>60</v>
      </c>
      <c r="C3" t="inlineStr">
        <is>
          <t>JobSolveStatus.OPTIMAL_SOLUTION</t>
        </is>
      </c>
      <c r="D3" t="n">
        <v>36320.43910905543</v>
      </c>
      <c r="E3" t="n">
        <v>9.943015918650082e-05</v>
      </c>
      <c r="F3" t="n">
        <v>25.73399999993853</v>
      </c>
      <c r="G3" t="n">
        <v>61</v>
      </c>
      <c r="H3" t="n">
        <v>7748672</v>
      </c>
    </row>
    <row r="4">
      <c r="A4" t="inlineStr">
        <is>
          <t>milp_small_1.xlsx</t>
        </is>
      </c>
      <c r="B4" t="n">
        <v>120</v>
      </c>
      <c r="C4" t="inlineStr">
        <is>
          <t>JobSolveStatus.OPTIMAL_SOLUTION</t>
        </is>
      </c>
      <c r="D4" t="n">
        <v>36320.43910905543</v>
      </c>
      <c r="E4" t="n">
        <v>9.943015918650082e-05</v>
      </c>
      <c r="F4" t="n">
        <v>25.73399999993853</v>
      </c>
      <c r="G4" t="n">
        <v>61</v>
      </c>
      <c r="H4" t="n">
        <v>7748672</v>
      </c>
    </row>
    <row r="5">
      <c r="A5" t="inlineStr">
        <is>
          <t>milp_small_1.xlsx</t>
        </is>
      </c>
      <c r="B5" t="n">
        <v>180</v>
      </c>
      <c r="C5" t="inlineStr">
        <is>
          <t>JobSolveStatus.OPTIMAL_SOLUTION</t>
        </is>
      </c>
      <c r="D5" t="n">
        <v>36320.43910905543</v>
      </c>
      <c r="E5" t="n">
        <v>9.943015918650082e-05</v>
      </c>
      <c r="F5" t="n">
        <v>25.73399999993853</v>
      </c>
      <c r="G5" t="n">
        <v>61</v>
      </c>
      <c r="H5" t="n">
        <v>7748672</v>
      </c>
    </row>
    <row r="6">
      <c r="A6" t="inlineStr">
        <is>
          <t>milp_small_1.xlsx</t>
        </is>
      </c>
      <c r="B6" t="n">
        <v>300</v>
      </c>
      <c r="C6" t="inlineStr">
        <is>
          <t>JobSolveStatus.OPTIMAL_SOLUTION</t>
        </is>
      </c>
      <c r="D6" t="n">
        <v>36320.43910905543</v>
      </c>
      <c r="E6" t="n">
        <v>9.943015918650082e-05</v>
      </c>
      <c r="F6" t="n">
        <v>25.73399999993853</v>
      </c>
      <c r="G6" t="n">
        <v>61</v>
      </c>
      <c r="H6" t="n">
        <v>7748672</v>
      </c>
    </row>
    <row r="7">
      <c r="A7" t="inlineStr">
        <is>
          <t>milp_small_1.xlsx</t>
        </is>
      </c>
      <c r="B7" t="n">
        <v>600</v>
      </c>
      <c r="C7" t="inlineStr">
        <is>
          <t>JobSolveStatus.OPTIMAL_SOLUTION</t>
        </is>
      </c>
      <c r="D7" t="n">
        <v>36320.43910905543</v>
      </c>
      <c r="E7" t="n">
        <v>9.943015918650082e-05</v>
      </c>
      <c r="F7" t="n">
        <v>25.73399999993853</v>
      </c>
      <c r="G7" t="n">
        <v>61</v>
      </c>
      <c r="H7" t="n">
        <v>7748672</v>
      </c>
    </row>
    <row r="8">
      <c r="A8" t="inlineStr">
        <is>
          <t>milp_small_1.xlsx</t>
        </is>
      </c>
      <c r="B8" t="n">
        <v>600</v>
      </c>
      <c r="C8" t="inlineStr">
        <is>
          <t>JobSolveStatus.OPTIMAL_SOLUTION</t>
        </is>
      </c>
      <c r="D8" t="n">
        <v>36320.43910905543</v>
      </c>
      <c r="E8" t="n">
        <v>9.943015918650082e-05</v>
      </c>
      <c r="F8" t="n">
        <v>24.14100000006147</v>
      </c>
      <c r="G8" t="n">
        <v>61</v>
      </c>
      <c r="H8" t="n">
        <v>7748672</v>
      </c>
    </row>
    <row r="9">
      <c r="A9" t="inlineStr">
        <is>
          <t>milp_small_1.xlsx</t>
        </is>
      </c>
      <c r="B9" t="n">
        <v>600</v>
      </c>
      <c r="C9" t="inlineStr">
        <is>
          <t>JobSolveStatus.OPTIMAL_SOLUTION</t>
        </is>
      </c>
      <c r="D9" t="n">
        <v>36320.43910905543</v>
      </c>
      <c r="E9" t="n">
        <v>9.943015918650082e-05</v>
      </c>
      <c r="F9" t="n">
        <v>24.39099999982864</v>
      </c>
      <c r="G9" t="n">
        <v>61</v>
      </c>
      <c r="H9" t="n">
        <v>7748672</v>
      </c>
    </row>
    <row r="10">
      <c r="A10" t="inlineStr">
        <is>
          <t>milp_small_1.xlsx</t>
        </is>
      </c>
      <c r="B10" t="n">
        <v>6</v>
      </c>
      <c r="C10" t="inlineStr">
        <is>
          <t>JobSolveStatus.FEASIBLE_SOLUTION</t>
        </is>
      </c>
      <c r="D10" t="n">
        <v>36320.43910905543</v>
      </c>
      <c r="E10" t="n">
        <v>0.0003798099580427031</v>
      </c>
      <c r="F10" t="n">
        <v>6.030999999959022</v>
      </c>
      <c r="G10" t="n">
        <v>61</v>
      </c>
      <c r="H10" t="n">
        <v>2200290</v>
      </c>
    </row>
    <row r="11">
      <c r="A11" t="inlineStr">
        <is>
          <t>milp_small_1.xlsx</t>
        </is>
      </c>
      <c r="B11" t="n">
        <v>10</v>
      </c>
      <c r="C11" t="inlineStr">
        <is>
          <t>JobSolveStatus.FEASIBLE_SOLUTION</t>
        </is>
      </c>
      <c r="D11" t="n">
        <v>36320.43910905543</v>
      </c>
      <c r="E11" t="n">
        <v>0.0001906574360305283</v>
      </c>
      <c r="F11" t="n">
        <v>10.03100000019185</v>
      </c>
      <c r="G11" t="n">
        <v>61</v>
      </c>
      <c r="H11" t="n">
        <v>3522011</v>
      </c>
    </row>
    <row r="12">
      <c r="A12" t="inlineStr">
        <is>
          <t>milp_small_1.xlsx</t>
        </is>
      </c>
      <c r="B12" t="n">
        <v>5</v>
      </c>
      <c r="C12" t="inlineStr">
        <is>
          <t>JobSolveStatus.FEASIBLE_SOLUTION</t>
        </is>
      </c>
      <c r="D12" t="n">
        <v>36320.43910905543</v>
      </c>
      <c r="E12" t="n">
        <v>0.0003798099580427031</v>
      </c>
      <c r="F12" t="n">
        <v>5.014999999897555</v>
      </c>
      <c r="G12" t="n">
        <v>61</v>
      </c>
      <c r="H12" t="n">
        <v>1747365</v>
      </c>
    </row>
    <row r="13">
      <c r="A13" t="inlineStr">
        <is>
          <t>milp_small_1.xlsx</t>
        </is>
      </c>
      <c r="B13" t="n">
        <v>3</v>
      </c>
      <c r="C13" t="inlineStr">
        <is>
          <t>JobSolveStatus.FEASIBLE_SOLUTION</t>
        </is>
      </c>
      <c r="D13" t="n">
        <v>36320.43910905543</v>
      </c>
      <c r="E13" t="n">
        <v>0.0003798099580431037</v>
      </c>
      <c r="F13" t="n">
        <v>3.016000000061467</v>
      </c>
      <c r="G13" t="n">
        <v>61</v>
      </c>
      <c r="H13" t="n">
        <v>583893</v>
      </c>
    </row>
    <row r="14">
      <c r="A14" t="inlineStr">
        <is>
          <t>milp_small_1.xlsx</t>
        </is>
      </c>
      <c r="B14" t="n">
        <v>2</v>
      </c>
      <c r="C14" t="inlineStr">
        <is>
          <t>JobSolveStatus.FEASIBLE_SOLUTION</t>
        </is>
      </c>
      <c r="D14" t="n">
        <v>36320.43910905543</v>
      </c>
      <c r="E14" t="n">
        <v>0.000379809958044506</v>
      </c>
      <c r="F14" t="n">
        <v>2.015000000130385</v>
      </c>
      <c r="G14" t="n">
        <v>61</v>
      </c>
      <c r="H14" t="n">
        <v>150539</v>
      </c>
    </row>
    <row r="15">
      <c r="A15" t="inlineStr">
        <is>
          <t>milp_small_1.xlsx</t>
        </is>
      </c>
      <c r="B15" t="n">
        <v>1</v>
      </c>
      <c r="C15" t="inlineStr">
        <is>
          <t>JobSolveStatus.FEASIBLE_SOLUTION</t>
        </is>
      </c>
      <c r="D15" t="n">
        <v>36320.43430352906</v>
      </c>
      <c r="E15" t="n">
        <v>0.001569598558767418</v>
      </c>
      <c r="F15" t="n">
        <v>1.031999999890104</v>
      </c>
      <c r="G15" t="n">
        <v>61</v>
      </c>
      <c r="H15" t="n">
        <v>41524</v>
      </c>
    </row>
    <row r="16">
      <c r="A16" t="inlineStr">
        <is>
          <t>milp_small_1.xlsx</t>
        </is>
      </c>
      <c r="B16" t="n">
        <v>30</v>
      </c>
      <c r="C16" t="inlineStr">
        <is>
          <t>JobSolveStatus.OPTIMAL_SOLUTION</t>
        </is>
      </c>
      <c r="D16" t="n">
        <v>36320.43910905543</v>
      </c>
      <c r="E16" t="n">
        <v>9.943015918650082e-05</v>
      </c>
      <c r="F16" t="n">
        <v>24.40599999995902</v>
      </c>
      <c r="G16" t="n">
        <v>61</v>
      </c>
      <c r="H16" t="n">
        <v>7748672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Y23" sqref="Y23"/>
    </sheetView>
  </sheetViews>
  <sheetFormatPr baseColWidth="8" defaultRowHeight="15.75"/>
  <sheetData>
    <row r="1">
      <c r="A1" t="inlineStr">
        <is>
          <t>filename</t>
        </is>
      </c>
      <c r="B1" s="1" t="inlineStr">
        <is>
          <t>timelimit</t>
        </is>
      </c>
      <c r="C1" s="1" t="inlineStr">
        <is>
          <t>status</t>
        </is>
      </c>
      <c r="D1" s="1" t="inlineStr">
        <is>
          <t>objective</t>
        </is>
      </c>
      <c r="E1" s="1" t="inlineStr">
        <is>
          <t>gap</t>
        </is>
      </c>
      <c r="F1" s="1" t="inlineStr">
        <is>
          <t>solve_time</t>
        </is>
      </c>
      <c r="G1" s="1" t="inlineStr">
        <is>
          <t>scheduled_count</t>
        </is>
      </c>
      <c r="H1" s="1" t="inlineStr">
        <is>
          <t>iterations</t>
        </is>
      </c>
    </row>
    <row r="2">
      <c r="A2" t="inlineStr">
        <is>
          <t>milp_small_2.xlsx</t>
        </is>
      </c>
      <c r="B2" t="n">
        <v>30</v>
      </c>
      <c r="C2" t="inlineStr">
        <is>
          <t>JobSolveStatus.FEASIBLE_SOLUTION</t>
        </is>
      </c>
      <c r="D2" t="n">
        <v>41195.70462216678</v>
      </c>
      <c r="E2" t="n">
        <v>0.0002619500106912502</v>
      </c>
      <c r="F2" t="n">
        <v>30.07800000009593</v>
      </c>
      <c r="G2" t="n">
        <v>69</v>
      </c>
      <c r="H2" t="n">
        <v>8539497</v>
      </c>
    </row>
    <row r="3">
      <c r="A3" t="inlineStr">
        <is>
          <t>milp_small_2.xlsx</t>
        </is>
      </c>
      <c r="B3" t="n">
        <v>60</v>
      </c>
      <c r="C3" t="inlineStr">
        <is>
          <t>JobSolveStatus.FEASIBLE_SOLUTION</t>
        </is>
      </c>
      <c r="D3" t="n">
        <v>41195.70462216678</v>
      </c>
      <c r="E3" t="n">
        <v>0.0002618589233440393</v>
      </c>
      <c r="F3" t="n">
        <v>60.03099999995902</v>
      </c>
      <c r="G3" t="n">
        <v>69</v>
      </c>
      <c r="H3" t="n">
        <v>20935554</v>
      </c>
    </row>
    <row r="4">
      <c r="A4" t="inlineStr">
        <is>
          <t>milp_small_2.xlsx</t>
        </is>
      </c>
      <c r="B4" t="n">
        <v>120</v>
      </c>
      <c r="C4" t="inlineStr">
        <is>
          <t>JobSolveStatus.FEASIBLE_SOLUTION</t>
        </is>
      </c>
      <c r="D4" t="n">
        <v>41195.70462216678</v>
      </c>
      <c r="E4" t="n">
        <v>0.0002618247869764421</v>
      </c>
      <c r="F4" t="n">
        <v>120.063000000082</v>
      </c>
      <c r="G4" t="n">
        <v>69</v>
      </c>
      <c r="H4" t="n">
        <v>28946459</v>
      </c>
    </row>
    <row r="5">
      <c r="A5" t="inlineStr">
        <is>
          <t>milp_small_2.xlsx</t>
        </is>
      </c>
      <c r="B5" t="n">
        <v>180</v>
      </c>
      <c r="C5" t="inlineStr">
        <is>
          <t>JobSolveStatus.FEASIBLE_SOLUTION</t>
        </is>
      </c>
      <c r="D5" t="n">
        <v>41195.70462216678</v>
      </c>
      <c r="E5" t="n">
        <v>0.0002617791390440065</v>
      </c>
      <c r="F5" t="n">
        <v>180.1409999999451</v>
      </c>
      <c r="G5" t="n">
        <v>69</v>
      </c>
      <c r="H5" t="n">
        <v>44772958</v>
      </c>
    </row>
    <row r="6">
      <c r="A6" t="inlineStr">
        <is>
          <t>milp_small_2.xlsx</t>
        </is>
      </c>
      <c r="B6" t="n">
        <v>300</v>
      </c>
      <c r="C6" t="inlineStr">
        <is>
          <t>JobSolveStatus.FEASIBLE_SOLUTION</t>
        </is>
      </c>
      <c r="D6" t="n">
        <v>41195.70462216678</v>
      </c>
      <c r="E6" t="n">
        <v>0.0002617450120105642</v>
      </c>
      <c r="F6" t="n">
        <v>303.1090000000549</v>
      </c>
      <c r="G6" t="n">
        <v>69</v>
      </c>
      <c r="H6" t="n">
        <v>61003162</v>
      </c>
    </row>
    <row r="7">
      <c r="A7" t="inlineStr">
        <is>
          <t>milp_small_2.xlsx</t>
        </is>
      </c>
      <c r="B7" t="n">
        <v>600</v>
      </c>
      <c r="C7" t="inlineStr">
        <is>
          <t>JobSolveStatus.FEASIBLE_SOLUTION</t>
        </is>
      </c>
      <c r="D7" t="n">
        <v>41195.70462216678</v>
      </c>
      <c r="E7" t="n">
        <v>0.000261733714666424</v>
      </c>
      <c r="F7" t="n">
        <v>602.125</v>
      </c>
      <c r="G7" t="n">
        <v>69</v>
      </c>
      <c r="H7" t="n">
        <v>63206192</v>
      </c>
    </row>
    <row r="8">
      <c r="A8" t="inlineStr">
        <is>
          <t>milp_small_2.xlsx</t>
        </is>
      </c>
      <c r="B8" t="n">
        <v>600</v>
      </c>
      <c r="C8" t="inlineStr">
        <is>
          <t>JobSolveStatus.FEASIBLE_SOLUTION</t>
        </is>
      </c>
      <c r="D8" t="n">
        <v>41195.70462216678</v>
      </c>
      <c r="E8" t="n">
        <v>0.0002616995621238523</v>
      </c>
      <c r="F8" t="n">
        <v>603.7339999999385</v>
      </c>
      <c r="G8" t="n">
        <v>69</v>
      </c>
      <c r="H8" t="n">
        <v>82293361</v>
      </c>
    </row>
    <row r="9">
      <c r="A9" t="inlineStr">
        <is>
          <t>milp_small_2.xlsx</t>
        </is>
      </c>
      <c r="B9" t="n">
        <v>6</v>
      </c>
      <c r="C9" t="inlineStr">
        <is>
          <t>JobSolveStatus.FEASIBLE_SOLUTION</t>
        </is>
      </c>
      <c r="D9" t="n">
        <v>41195.70462216678</v>
      </c>
      <c r="E9" t="n">
        <v>0.0002621093880876481</v>
      </c>
      <c r="F9" t="n">
        <v>6.015000000130385</v>
      </c>
      <c r="G9" t="n">
        <v>69</v>
      </c>
      <c r="H9" t="n">
        <v>1524758</v>
      </c>
    </row>
    <row r="10">
      <c r="A10" t="inlineStr">
        <is>
          <t>milp_small_2.xlsx</t>
        </is>
      </c>
      <c r="B10" t="n">
        <v>10</v>
      </c>
      <c r="C10" t="inlineStr">
        <is>
          <t>JobSolveStatus.FEASIBLE_SOLUTION</t>
        </is>
      </c>
      <c r="D10" t="n">
        <v>41195.70462216678</v>
      </c>
      <c r="E10" t="n">
        <v>0.0002620524683207315</v>
      </c>
      <c r="F10" t="n">
        <v>10.04700000002049</v>
      </c>
      <c r="G10" t="n">
        <v>69</v>
      </c>
      <c r="H10" t="n">
        <v>2816974</v>
      </c>
    </row>
    <row r="11">
      <c r="A11" t="inlineStr">
        <is>
          <t>milp_small_2.xlsx</t>
        </is>
      </c>
      <c r="B11" t="n">
        <v>5</v>
      </c>
      <c r="C11" t="inlineStr">
        <is>
          <t>JobSolveStatus.FEASIBLE_SOLUTION</t>
        </is>
      </c>
      <c r="D11" t="n">
        <v>41195.70462216678</v>
      </c>
      <c r="E11" t="n">
        <v>0.0002621207734071112</v>
      </c>
      <c r="F11" t="n">
        <v>5.031999999890104</v>
      </c>
      <c r="G11" t="n">
        <v>69</v>
      </c>
      <c r="H11" t="n">
        <v>1128646</v>
      </c>
    </row>
    <row r="12">
      <c r="A12" t="inlineStr">
        <is>
          <t>milp_small_2.xlsx</t>
        </is>
      </c>
      <c r="B12" t="n">
        <v>3</v>
      </c>
      <c r="C12" t="inlineStr">
        <is>
          <t>JobSolveStatus.FEASIBLE_SOLUTION</t>
        </is>
      </c>
      <c r="D12" t="n">
        <v>41195.70462216678</v>
      </c>
      <c r="E12" t="n">
        <v>0.0002622232194175135</v>
      </c>
      <c r="F12" t="n">
        <v>3.046999999787658</v>
      </c>
      <c r="G12" t="n">
        <v>69</v>
      </c>
      <c r="H12" t="n">
        <v>534018</v>
      </c>
    </row>
    <row r="13">
      <c r="A13" t="inlineStr">
        <is>
          <t>milp_small_2.xlsx</t>
        </is>
      </c>
      <c r="B13" t="n">
        <v>2</v>
      </c>
      <c r="C13" t="inlineStr">
        <is>
          <t>JobSolveStatus.FEASIBLE_SOLUTION</t>
        </is>
      </c>
      <c r="D13" t="n">
        <v>41195.70462216678</v>
      </c>
      <c r="E13" t="n">
        <v>0.0002622232194175135</v>
      </c>
      <c r="F13" t="n">
        <v>2.014999999897555</v>
      </c>
      <c r="G13" t="n">
        <v>69</v>
      </c>
      <c r="H13" t="n">
        <v>158522</v>
      </c>
    </row>
    <row r="14">
      <c r="A14" t="inlineStr">
        <is>
          <t>milp_small_2.xlsx</t>
        </is>
      </c>
      <c r="B14" t="n">
        <v>1</v>
      </c>
      <c r="C14" t="inlineStr">
        <is>
          <t>JobSolveStatus.FEASIBLE_SOLUTION</t>
        </is>
      </c>
      <c r="D14" t="n">
        <v>41195.70462216678</v>
      </c>
      <c r="E14" t="n">
        <v>0.0002656416721577879</v>
      </c>
      <c r="F14" t="n">
        <v>1.031999999890104</v>
      </c>
      <c r="G14" t="n">
        <v>69</v>
      </c>
      <c r="H14" t="n">
        <v>35345</v>
      </c>
    </row>
    <row r="15">
      <c r="A15" t="inlineStr">
        <is>
          <t>milp_small_2.xlsx</t>
        </is>
      </c>
      <c r="B15" t="n">
        <v>30</v>
      </c>
      <c r="C15" t="inlineStr">
        <is>
          <t>JobSolveStatus.FEASIBLE_SOLUTION</t>
        </is>
      </c>
      <c r="D15" t="n">
        <v>41195.70462216678</v>
      </c>
      <c r="E15" t="n">
        <v>0.0002619499833693001</v>
      </c>
      <c r="F15" t="n">
        <v>30.06199999991804</v>
      </c>
      <c r="G15" t="n">
        <v>69</v>
      </c>
      <c r="H15" t="n">
        <v>8917177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J1" sqref="J1"/>
    </sheetView>
  </sheetViews>
  <sheetFormatPr baseColWidth="8" defaultRowHeight="15.75"/>
  <sheetData>
    <row r="1">
      <c r="A1" t="inlineStr">
        <is>
          <t>filename</t>
        </is>
      </c>
      <c r="B1" s="1" t="inlineStr">
        <is>
          <t>timelimit</t>
        </is>
      </c>
      <c r="C1" s="1" t="inlineStr">
        <is>
          <t>status</t>
        </is>
      </c>
      <c r="D1" s="1" t="inlineStr">
        <is>
          <t>objective</t>
        </is>
      </c>
      <c r="E1" s="1" t="inlineStr">
        <is>
          <t>gap</t>
        </is>
      </c>
      <c r="F1" s="1" t="inlineStr">
        <is>
          <t>solve_time</t>
        </is>
      </c>
      <c r="G1" s="1" t="inlineStr">
        <is>
          <t>scheduled_count</t>
        </is>
      </c>
      <c r="H1" s="1" t="inlineStr">
        <is>
          <t>iterations</t>
        </is>
      </c>
    </row>
    <row r="2">
      <c r="A2" t="inlineStr">
        <is>
          <t>milp_medium_1.xlsx</t>
        </is>
      </c>
      <c r="B2" t="n">
        <v>30</v>
      </c>
      <c r="C2" t="inlineStr">
        <is>
          <t>JobSolveStatus.FEASIBLE_SOLUTION</t>
        </is>
      </c>
      <c r="D2" t="n">
        <v>61631.95677230819</v>
      </c>
      <c r="E2" t="n">
        <v>0.001076505043008725</v>
      </c>
      <c r="F2" t="n">
        <v>30.03099999995902</v>
      </c>
      <c r="G2" t="n">
        <v>104</v>
      </c>
      <c r="H2" t="n">
        <v>1408695</v>
      </c>
    </row>
    <row r="3">
      <c r="A3" t="inlineStr">
        <is>
          <t>milp_medium_1.xlsx</t>
        </is>
      </c>
      <c r="B3" t="n">
        <v>60</v>
      </c>
      <c r="C3" t="inlineStr">
        <is>
          <t>JobSolveStatus.FEASIBLE_SOLUTION</t>
        </is>
      </c>
      <c r="D3" t="n">
        <v>61631.98019924928</v>
      </c>
      <c r="E3" t="n">
        <v>0.001019002492788515</v>
      </c>
      <c r="F3" t="n">
        <v>60.07799999997951</v>
      </c>
      <c r="G3" t="n">
        <v>104</v>
      </c>
      <c r="H3" t="n">
        <v>3707170</v>
      </c>
    </row>
    <row r="4">
      <c r="A4" t="inlineStr">
        <is>
          <t>milp_medium_1.xlsx</t>
        </is>
      </c>
      <c r="B4" t="n">
        <v>120</v>
      </c>
      <c r="C4" t="inlineStr">
        <is>
          <t>JobSolveStatus.FEASIBLE_SOLUTION</t>
        </is>
      </c>
      <c r="D4" t="n">
        <v>61631.98740753876</v>
      </c>
      <c r="E4" t="n">
        <v>0.001018820481397176</v>
      </c>
      <c r="F4" t="n">
        <v>120.094000000041</v>
      </c>
      <c r="G4" t="n">
        <v>104</v>
      </c>
      <c r="H4" t="n">
        <v>10396514</v>
      </c>
    </row>
    <row r="5">
      <c r="A5" t="inlineStr">
        <is>
          <t>milp_medium_1.xlsx</t>
        </is>
      </c>
      <c r="B5" t="n">
        <v>180</v>
      </c>
      <c r="C5" t="inlineStr">
        <is>
          <t>JobSolveStatus.FEASIBLE_SOLUTION</t>
        </is>
      </c>
      <c r="D5" t="n">
        <v>61631.98740753878</v>
      </c>
      <c r="E5" t="n">
        <v>0.00101882048139694</v>
      </c>
      <c r="F5" t="n">
        <v>180.140000000014</v>
      </c>
      <c r="G5" t="n">
        <v>104</v>
      </c>
      <c r="H5" t="n">
        <v>16922832</v>
      </c>
    </row>
    <row r="6">
      <c r="A6" t="inlineStr">
        <is>
          <t>milp_medium_1.xlsx</t>
        </is>
      </c>
      <c r="B6" t="n">
        <v>300</v>
      </c>
      <c r="C6" t="inlineStr">
        <is>
          <t>JobSolveStatus.FEASIBLE_SOLUTION</t>
        </is>
      </c>
      <c r="D6" t="n">
        <v>61631.98740753881</v>
      </c>
      <c r="E6" t="n">
        <v>0.001018820468114938</v>
      </c>
      <c r="F6" t="n">
        <v>300.094000000041</v>
      </c>
      <c r="G6" t="n">
        <v>104</v>
      </c>
      <c r="H6" t="n">
        <v>22273386</v>
      </c>
    </row>
    <row r="7">
      <c r="A7" t="inlineStr">
        <is>
          <t>milp_medium_1.xlsx</t>
        </is>
      </c>
      <c r="B7" t="n">
        <v>600</v>
      </c>
      <c r="C7" t="inlineStr">
        <is>
          <t>JobSolveStatus.FEASIBLE_SOLUTION</t>
        </is>
      </c>
      <c r="D7" t="n">
        <v>61631.98740753881</v>
      </c>
      <c r="E7" t="n">
        <v>0.001018820481395995</v>
      </c>
      <c r="F7" t="n">
        <v>600.109999999986</v>
      </c>
      <c r="G7" t="n">
        <v>104</v>
      </c>
      <c r="H7" t="n">
        <v>44198007</v>
      </c>
    </row>
    <row r="8">
      <c r="A8" t="inlineStr">
        <is>
          <t>milp_medium_1.xlsx</t>
        </is>
      </c>
      <c r="B8" t="n">
        <v>600</v>
      </c>
      <c r="C8" t="inlineStr">
        <is>
          <t>JobSolveStatus.FEASIBLE_SOLUTION</t>
        </is>
      </c>
      <c r="D8" t="n">
        <v>61631.98740753881</v>
      </c>
      <c r="E8" t="n">
        <v>0.001018820481395995</v>
      </c>
      <c r="F8" t="n">
        <v>600.0779999999795</v>
      </c>
      <c r="G8" t="n">
        <v>104</v>
      </c>
      <c r="H8" t="n">
        <v>48256588</v>
      </c>
    </row>
    <row r="9">
      <c r="A9" t="inlineStr">
        <is>
          <t>milp_medium_1.xlsx</t>
        </is>
      </c>
      <c r="B9" t="n">
        <v>600</v>
      </c>
      <c r="C9" t="inlineStr">
        <is>
          <t>JobSolveStatus.FEASIBLE_SOLUTION</t>
        </is>
      </c>
      <c r="D9" t="n">
        <v>59875.2725882565</v>
      </c>
      <c r="E9" t="n">
        <v>0.03045277709690768</v>
      </c>
      <c r="F9" t="n">
        <v>12.03099999995902</v>
      </c>
      <c r="G9" t="n">
        <v>101</v>
      </c>
      <c r="H9" t="n">
        <v>583659</v>
      </c>
    </row>
    <row r="10">
      <c r="A10" t="inlineStr">
        <is>
          <t>milp_medium_1.xlsx</t>
        </is>
      </c>
      <c r="B10" t="n">
        <v>300</v>
      </c>
      <c r="C10" t="inlineStr">
        <is>
          <t>JobSolveStatus.FEASIBLE_SOLUTION</t>
        </is>
      </c>
      <c r="D10" t="n">
        <v>61631.98740753881</v>
      </c>
      <c r="E10" t="n">
        <v>0.001018820481396467</v>
      </c>
      <c r="F10" t="n">
        <v>300.2189999998081</v>
      </c>
      <c r="G10" t="n">
        <v>104</v>
      </c>
      <c r="H10" t="n">
        <v>26817152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E7" sqref="E7"/>
    </sheetView>
  </sheetViews>
  <sheetFormatPr baseColWidth="8" defaultRowHeight="15.75"/>
  <sheetData>
    <row r="1">
      <c r="A1" t="inlineStr">
        <is>
          <t>filename</t>
        </is>
      </c>
      <c r="B1" s="1" t="inlineStr">
        <is>
          <t>timelimit</t>
        </is>
      </c>
      <c r="C1" s="1" t="inlineStr">
        <is>
          <t>status</t>
        </is>
      </c>
      <c r="D1" s="1" t="inlineStr">
        <is>
          <t>objective</t>
        </is>
      </c>
      <c r="E1" s="1" t="inlineStr">
        <is>
          <t>gap</t>
        </is>
      </c>
      <c r="F1" s="1" t="inlineStr">
        <is>
          <t>solve_time</t>
        </is>
      </c>
      <c r="G1" s="1" t="inlineStr">
        <is>
          <t>scheduled_count</t>
        </is>
      </c>
      <c r="H1" s="1" t="inlineStr">
        <is>
          <t>iterations</t>
        </is>
      </c>
      <c r="J1" s="1" t="inlineStr">
        <is>
          <t>cp_time</t>
        </is>
      </c>
    </row>
    <row r="2">
      <c r="A2" t="inlineStr">
        <is>
          <t>milp_medium_2.xlsx</t>
        </is>
      </c>
      <c r="B2" t="n">
        <v>30</v>
      </c>
      <c r="C2" t="inlineStr">
        <is>
          <t>JobSolveStatus.FEASIBLE_SOLUTION</t>
        </is>
      </c>
      <c r="D2" t="n">
        <v>65970.03364790905</v>
      </c>
      <c r="E2" t="n">
        <v>0.01062545144069207</v>
      </c>
      <c r="F2" t="n">
        <v>30.09299999999348</v>
      </c>
      <c r="G2" t="n">
        <v>111</v>
      </c>
      <c r="H2" t="n">
        <v>1819732</v>
      </c>
      <c r="J2" t="n">
        <v>0.8100000000000001</v>
      </c>
      <c r="K2">
        <f>B2/J2</f>
        <v/>
      </c>
    </row>
    <row r="3">
      <c r="A3" t="inlineStr">
        <is>
          <t>milp_medium_2.xlsx</t>
        </is>
      </c>
      <c r="B3" t="n">
        <v>60</v>
      </c>
      <c r="C3" t="inlineStr">
        <is>
          <t>JobSolveStatus.FEASIBLE_SOLUTION</t>
        </is>
      </c>
      <c r="D3" t="n">
        <v>65967.37171983921</v>
      </c>
      <c r="E3" t="n">
        <v>0.01066590537002848</v>
      </c>
      <c r="F3" t="n">
        <v>60.09399999992456</v>
      </c>
      <c r="G3" t="n">
        <v>111</v>
      </c>
      <c r="H3" t="n">
        <v>4278509</v>
      </c>
      <c r="J3" t="n">
        <v>0.8100000000000001</v>
      </c>
      <c r="K3">
        <f>B3/J3</f>
        <v/>
      </c>
    </row>
    <row r="4">
      <c r="A4" t="inlineStr">
        <is>
          <t>milp_medium_2.xlsx</t>
        </is>
      </c>
      <c r="B4" t="n">
        <v>120</v>
      </c>
      <c r="C4" t="inlineStr">
        <is>
          <t>JobSolveStatus.FEASIBLE_SOLUTION</t>
        </is>
      </c>
      <c r="D4" t="n">
        <v>66556.57909819845</v>
      </c>
      <c r="E4" t="n">
        <v>0.001718492968814374</v>
      </c>
      <c r="F4" t="n">
        <v>120.125</v>
      </c>
      <c r="G4" t="n">
        <v>112</v>
      </c>
      <c r="H4" t="n">
        <v>8414351</v>
      </c>
      <c r="J4" t="n">
        <v>1.99</v>
      </c>
      <c r="K4">
        <f>B4/J4</f>
        <v/>
      </c>
    </row>
    <row r="5">
      <c r="A5" t="inlineStr">
        <is>
          <t>milp_medium_2.xlsx</t>
        </is>
      </c>
      <c r="B5" t="n">
        <v>180</v>
      </c>
      <c r="C5" t="inlineStr">
        <is>
          <t>JobSolveStatus.FEASIBLE_SOLUTION</t>
        </is>
      </c>
      <c r="D5" t="n">
        <v>66556.57909819772</v>
      </c>
      <c r="E5" t="n">
        <v>0.001718302725069508</v>
      </c>
      <c r="F5" t="n">
        <v>180.094000000041</v>
      </c>
      <c r="G5" t="n">
        <v>112</v>
      </c>
      <c r="H5" t="n">
        <v>12963681</v>
      </c>
      <c r="J5" t="n">
        <v>1.99</v>
      </c>
      <c r="K5">
        <f>B5/J5</f>
        <v/>
      </c>
    </row>
    <row r="6">
      <c r="A6" t="inlineStr">
        <is>
          <t>milp_medium_2.xlsx</t>
        </is>
      </c>
      <c r="B6" t="n">
        <v>300</v>
      </c>
      <c r="C6" t="inlineStr">
        <is>
          <t>JobSolveStatus.FEASIBLE_SOLUTION</t>
        </is>
      </c>
      <c r="D6" t="n">
        <v>66580.97633858437</v>
      </c>
      <c r="E6" t="n">
        <v>0.001319664814652606</v>
      </c>
      <c r="F6" t="n">
        <v>300.1090000000549</v>
      </c>
      <c r="G6" t="n">
        <v>112</v>
      </c>
      <c r="H6" t="n">
        <v>20854202</v>
      </c>
      <c r="J6" t="n">
        <v>2.38</v>
      </c>
      <c r="K6">
        <f>B6/J6</f>
        <v/>
      </c>
    </row>
    <row r="7">
      <c r="A7" t="inlineStr">
        <is>
          <t>milp_medium_2.xlsx</t>
        </is>
      </c>
      <c r="B7" t="n">
        <v>600</v>
      </c>
      <c r="C7" t="inlineStr">
        <is>
          <t>JobSolveStatus.FEASIBLE_SOLUTION</t>
        </is>
      </c>
      <c r="D7" t="n">
        <v>66581.02839529337</v>
      </c>
      <c r="E7" t="n">
        <v>0.001309823621485177</v>
      </c>
      <c r="F7" t="n">
        <v>600.125</v>
      </c>
      <c r="G7" t="n">
        <v>112</v>
      </c>
      <c r="H7" t="n">
        <v>43502584</v>
      </c>
      <c r="J7" t="n">
        <v>2.54</v>
      </c>
      <c r="K7">
        <f>B7/J7</f>
        <v/>
      </c>
    </row>
    <row r="8">
      <c r="A8" t="inlineStr">
        <is>
          <t>milp_medium_2.xlsx</t>
        </is>
      </c>
      <c r="B8" t="n">
        <v>300</v>
      </c>
      <c r="C8" t="inlineStr">
        <is>
          <t>JobSolveStatus.FEASIBLE_SOLUTION</t>
        </is>
      </c>
      <c r="D8" t="n">
        <v>66581.00494632537</v>
      </c>
      <c r="E8" t="n">
        <v>0.001319234579428944</v>
      </c>
      <c r="F8" t="n">
        <v>300.1099999998696</v>
      </c>
      <c r="G8" t="n">
        <v>112</v>
      </c>
      <c r="H8" t="n">
        <v>22881488</v>
      </c>
    </row>
    <row r="9">
      <c r="A9" t="inlineStr">
        <is>
          <t>milp_medium_2.xlsx</t>
        </is>
      </c>
      <c r="B9" t="n">
        <v>600</v>
      </c>
      <c r="C9" t="inlineStr">
        <is>
          <t>JobSolveStatus.FEASIBLE_SOLUTION</t>
        </is>
      </c>
      <c r="D9" t="n">
        <v>65386.14449464953</v>
      </c>
      <c r="E9" t="n">
        <v>0.01965029621477271</v>
      </c>
      <c r="F9" t="n">
        <v>22.31300000008196</v>
      </c>
      <c r="G9" t="n">
        <v>110</v>
      </c>
      <c r="H9" t="n">
        <v>1439501</v>
      </c>
    </row>
    <row r="10">
      <c r="A10" t="inlineStr">
        <is>
          <t>milp_medium_2.xlsx</t>
        </is>
      </c>
      <c r="B10" t="n">
        <v>150</v>
      </c>
      <c r="C10" t="inlineStr">
        <is>
          <t>JobSolveStatus.FEASIBLE_SOLUTION</t>
        </is>
      </c>
      <c r="D10" t="n">
        <v>66556.57909819868</v>
      </c>
      <c r="E10" t="n">
        <v>0.001706389243208298</v>
      </c>
      <c r="F10" t="n">
        <v>150.061999999918</v>
      </c>
      <c r="G10" t="n">
        <v>112</v>
      </c>
      <c r="H10" t="n">
        <v>9158563</v>
      </c>
    </row>
    <row r="11">
      <c r="A11" t="inlineStr">
        <is>
          <t>milp_medium_2.xlsx</t>
        </is>
      </c>
      <c r="B11" t="n">
        <v>60</v>
      </c>
      <c r="C11" t="inlineStr">
        <is>
          <t>JobSolveStatus.FEASIBLE_SOLUTION</t>
        </is>
      </c>
      <c r="D11" t="n">
        <v>65970.04912211663</v>
      </c>
      <c r="E11" t="n">
        <v>0.01062487314776606</v>
      </c>
      <c r="F11" t="n">
        <v>60.10999999986961</v>
      </c>
      <c r="G11" t="n">
        <v>111</v>
      </c>
      <c r="H11" t="n">
        <v>4539833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C12" sqref="C12"/>
    </sheetView>
  </sheetViews>
  <sheetFormatPr baseColWidth="8" defaultRowHeight="15.75"/>
  <sheetData>
    <row r="1">
      <c r="A1" t="inlineStr">
        <is>
          <t>filename</t>
        </is>
      </c>
      <c r="B1" s="1" t="inlineStr">
        <is>
          <t>timelimit</t>
        </is>
      </c>
      <c r="C1" s="1" t="inlineStr">
        <is>
          <t>status</t>
        </is>
      </c>
      <c r="D1" s="1" t="inlineStr">
        <is>
          <t>objective</t>
        </is>
      </c>
      <c r="E1" s="1" t="inlineStr">
        <is>
          <t>gap</t>
        </is>
      </c>
      <c r="F1" s="1" t="inlineStr">
        <is>
          <t>solve_time</t>
        </is>
      </c>
      <c r="G1" s="1" t="inlineStr">
        <is>
          <t>scheduled_count</t>
        </is>
      </c>
      <c r="H1" s="1" t="inlineStr">
        <is>
          <t>iterations</t>
        </is>
      </c>
      <c r="J1" s="1" t="inlineStr">
        <is>
          <t>cp_time</t>
        </is>
      </c>
    </row>
    <row r="2">
      <c r="A2" t="inlineStr">
        <is>
          <t>milp_large_1.xlsx</t>
        </is>
      </c>
      <c r="B2" t="n">
        <v>30</v>
      </c>
      <c r="C2" t="inlineStr">
        <is>
          <t>JobSolveStatus.FEASIBLE_SOLUTION</t>
        </is>
      </c>
      <c r="D2" t="n">
        <v>86301.17902883097</v>
      </c>
      <c r="E2" t="n">
        <v>0.3284360371151512</v>
      </c>
      <c r="F2" t="n">
        <v>30.03100000007544</v>
      </c>
      <c r="G2" t="n">
        <v>145</v>
      </c>
      <c r="H2" t="n">
        <v>383926</v>
      </c>
      <c r="J2" t="n">
        <v>1.66</v>
      </c>
    </row>
    <row r="3">
      <c r="A3" t="inlineStr">
        <is>
          <t>milp_large_1.xlsx</t>
        </is>
      </c>
      <c r="B3" t="n">
        <v>60</v>
      </c>
      <c r="C3" t="inlineStr">
        <is>
          <t>JobSolveStatus.FEASIBLE_SOLUTION</t>
        </is>
      </c>
      <c r="D3" t="n">
        <v>101487.0791082689</v>
      </c>
      <c r="E3" t="n">
        <v>0.1296410706289024</v>
      </c>
      <c r="F3" t="n">
        <v>60.14000000001397</v>
      </c>
      <c r="G3" t="n">
        <v>171</v>
      </c>
      <c r="H3" t="n">
        <v>811927</v>
      </c>
      <c r="J3" t="n">
        <v>1.66</v>
      </c>
    </row>
    <row r="4">
      <c r="A4" t="inlineStr">
        <is>
          <t>milp_large_1.xlsx</t>
        </is>
      </c>
      <c r="B4" t="n">
        <v>120</v>
      </c>
      <c r="C4" t="inlineStr">
        <is>
          <t>JobSolveStatus.FEASIBLE_SOLUTION</t>
        </is>
      </c>
      <c r="D4" t="n">
        <v>105092.4316038977</v>
      </c>
      <c r="E4" t="n">
        <v>0.09088029323399224</v>
      </c>
      <c r="F4" t="n">
        <v>120.2029999999795</v>
      </c>
      <c r="G4" t="n">
        <v>177</v>
      </c>
      <c r="H4" t="n">
        <v>1859638</v>
      </c>
      <c r="J4" t="n">
        <v>1.66</v>
      </c>
    </row>
    <row r="5">
      <c r="A5" t="inlineStr">
        <is>
          <t>milp_large_1.xlsx</t>
        </is>
      </c>
      <c r="B5" t="n">
        <v>180</v>
      </c>
      <c r="C5" t="inlineStr">
        <is>
          <t>JobSolveStatus.FEASIBLE_SOLUTION</t>
        </is>
      </c>
      <c r="D5" t="n">
        <v>106276.2006211582</v>
      </c>
      <c r="E5" t="n">
        <v>0.07872912714775152</v>
      </c>
      <c r="F5" t="n">
        <v>180.2659999999451</v>
      </c>
      <c r="G5" t="n">
        <v>179</v>
      </c>
      <c r="H5" t="n">
        <v>3178689</v>
      </c>
      <c r="J5" t="n">
        <v>1.66</v>
      </c>
    </row>
    <row r="6">
      <c r="A6" t="inlineStr">
        <is>
          <t>milp_large_1.xlsx</t>
        </is>
      </c>
      <c r="B6" t="n">
        <v>300</v>
      </c>
      <c r="C6" t="inlineStr">
        <is>
          <t>JobSolveStatus.FEASIBLE_SOLUTION</t>
        </is>
      </c>
      <c r="D6" t="n">
        <v>106291.9560572208</v>
      </c>
      <c r="E6" t="n">
        <v>0.07856920652289112</v>
      </c>
      <c r="F6" t="n">
        <v>300.2659999999451</v>
      </c>
      <c r="G6" t="n">
        <v>179</v>
      </c>
      <c r="H6" t="n">
        <v>3620289</v>
      </c>
      <c r="J6" t="n">
        <v>1.66</v>
      </c>
    </row>
    <row r="7">
      <c r="A7" t="inlineStr">
        <is>
          <t>milp_large_1.xlsx</t>
        </is>
      </c>
      <c r="B7" t="n">
        <v>600</v>
      </c>
      <c r="C7" t="inlineStr">
        <is>
          <t>JobSolveStatus.FEASIBLE_SOLUTION</t>
        </is>
      </c>
      <c r="D7" t="n">
        <v>106902.1981470979</v>
      </c>
      <c r="E7" t="n">
        <v>0.07241215677099072</v>
      </c>
      <c r="F7" t="n">
        <v>600.2969999999041</v>
      </c>
      <c r="G7" t="n">
        <v>180</v>
      </c>
      <c r="H7" t="n">
        <v>7346534</v>
      </c>
      <c r="J7" t="n">
        <v>1.66</v>
      </c>
    </row>
    <row r="8">
      <c r="A8" t="inlineStr">
        <is>
          <t>milp_large_1.xlsx</t>
        </is>
      </c>
      <c r="B8" t="n">
        <v>600</v>
      </c>
      <c r="C8" t="inlineStr">
        <is>
          <t>JobSolveStatus.FEASIBLE_SOLUTION</t>
        </is>
      </c>
      <c r="D8" t="n">
        <v>106902.2792809009</v>
      </c>
      <c r="E8" t="n">
        <v>0.07241133456838837</v>
      </c>
      <c r="F8" t="n">
        <v>600.280999999959</v>
      </c>
      <c r="G8" t="n">
        <v>180</v>
      </c>
      <c r="H8" t="n">
        <v>7647486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H35" sqref="H35:H36"/>
    </sheetView>
  </sheetViews>
  <sheetFormatPr baseColWidth="8" defaultRowHeight="15.75"/>
  <cols>
    <col width="13.5703125" bestFit="1" customWidth="1" min="5" max="5"/>
  </cols>
  <sheetData>
    <row r="1">
      <c r="A1" t="inlineStr">
        <is>
          <t>filename</t>
        </is>
      </c>
      <c r="B1" s="1" t="inlineStr">
        <is>
          <t>timelimit</t>
        </is>
      </c>
      <c r="C1" s="1" t="inlineStr">
        <is>
          <t>status</t>
        </is>
      </c>
      <c r="D1" s="1" t="inlineStr">
        <is>
          <t>objective</t>
        </is>
      </c>
      <c r="E1" s="1" t="inlineStr">
        <is>
          <t>gap</t>
        </is>
      </c>
      <c r="F1" s="1" t="inlineStr">
        <is>
          <t>solve_time</t>
        </is>
      </c>
      <c r="G1" s="1" t="inlineStr">
        <is>
          <t>scheduled_count</t>
        </is>
      </c>
      <c r="H1" s="1" t="inlineStr">
        <is>
          <t>iterations</t>
        </is>
      </c>
      <c r="J1" s="1" t="inlineStr">
        <is>
          <t>cp_time</t>
        </is>
      </c>
    </row>
    <row r="2">
      <c r="A2" t="inlineStr">
        <is>
          <t>milp_large_2.xlsx</t>
        </is>
      </c>
      <c r="B2" t="n">
        <v>30</v>
      </c>
      <c r="C2" t="inlineStr">
        <is>
          <t>JobSolveStatus.FEASIBLE_SOLUTION</t>
        </is>
      </c>
      <c r="D2" t="n">
        <v>57445.58825777144</v>
      </c>
      <c r="E2" t="n">
        <v>1.62387978153508</v>
      </c>
      <c r="F2" t="n">
        <v>30.26599999994505</v>
      </c>
      <c r="G2" t="n">
        <v>96</v>
      </c>
      <c r="H2" t="n">
        <v>328287</v>
      </c>
      <c r="J2" t="n">
        <v>1.92</v>
      </c>
      <c r="K2">
        <f>B2/J2</f>
        <v/>
      </c>
    </row>
    <row r="3">
      <c r="A3" t="inlineStr">
        <is>
          <t>milp_large_2.xlsx</t>
        </is>
      </c>
      <c r="B3" t="n">
        <v>60</v>
      </c>
      <c r="C3" t="inlineStr">
        <is>
          <t>JobSolveStatus.FEASIBLE_SOLUTION</t>
        </is>
      </c>
      <c r="D3" t="n">
        <v>57445.58825777144</v>
      </c>
      <c r="E3" t="n">
        <v>1.62387978153508</v>
      </c>
      <c r="F3" t="n">
        <v>66.71799999999348</v>
      </c>
      <c r="G3" t="n">
        <v>96</v>
      </c>
      <c r="H3" t="n">
        <v>353276</v>
      </c>
      <c r="J3" t="n">
        <v>1.92</v>
      </c>
      <c r="K3">
        <f>B3/J3</f>
        <v/>
      </c>
    </row>
    <row r="4">
      <c r="A4" t="inlineStr">
        <is>
          <t>milp_large_2.xlsx</t>
        </is>
      </c>
      <c r="B4" t="n">
        <v>120</v>
      </c>
      <c r="C4" t="inlineStr">
        <is>
          <t>JobSolveStatus.FEASIBLE_SOLUTION</t>
        </is>
      </c>
      <c r="D4" t="n">
        <v>144682.5694432306</v>
      </c>
      <c r="E4" t="n">
        <v>0.04150700341082158</v>
      </c>
      <c r="F4" t="n">
        <v>120.2340000000549</v>
      </c>
      <c r="G4" t="n">
        <v>245</v>
      </c>
      <c r="H4" t="n">
        <v>707910</v>
      </c>
      <c r="J4" t="n">
        <v>2.1</v>
      </c>
      <c r="K4">
        <f>B4/J4</f>
        <v/>
      </c>
    </row>
    <row r="5">
      <c r="A5" t="inlineStr">
        <is>
          <t>milp_large_2.xlsx</t>
        </is>
      </c>
      <c r="B5" t="n">
        <v>180</v>
      </c>
      <c r="C5" t="inlineStr">
        <is>
          <t>JobSolveStatus.FEASIBLE_SOLUTION</t>
        </is>
      </c>
      <c r="D5" t="n">
        <v>149488.4497628495</v>
      </c>
      <c r="E5" t="n">
        <v>0.008023503278548807</v>
      </c>
      <c r="F5" t="n">
        <v>180.280999999959</v>
      </c>
      <c r="G5" t="n">
        <v>253</v>
      </c>
      <c r="H5" t="n">
        <v>1339974</v>
      </c>
      <c r="J5" t="n">
        <v>2.1</v>
      </c>
      <c r="K5">
        <f>B5/J5</f>
        <v/>
      </c>
    </row>
    <row r="6">
      <c r="A6" t="inlineStr">
        <is>
          <t>milp_large_2.xlsx</t>
        </is>
      </c>
      <c r="B6" t="n">
        <v>300</v>
      </c>
      <c r="C6" t="inlineStr">
        <is>
          <t>JobSolveStatus.FEASIBLE_SOLUTION</t>
        </is>
      </c>
      <c r="D6" t="n">
        <v>149505.0597898861</v>
      </c>
      <c r="E6" t="n">
        <v>0.007911441045372804</v>
      </c>
      <c r="F6" t="n">
        <v>300.405999999959</v>
      </c>
      <c r="G6" t="n">
        <v>253</v>
      </c>
      <c r="H6" t="n">
        <v>1520469</v>
      </c>
      <c r="J6" t="n">
        <v>2.1</v>
      </c>
      <c r="K6">
        <f>B6/J6</f>
        <v/>
      </c>
    </row>
    <row r="7">
      <c r="A7" t="inlineStr">
        <is>
          <t>milp_large_2.xlsx</t>
        </is>
      </c>
      <c r="B7" t="n">
        <v>600</v>
      </c>
      <c r="C7" t="inlineStr">
        <is>
          <t>JobSolveStatus.OPTIMAL_SOLUTION</t>
        </is>
      </c>
      <c r="D7" t="n">
        <v>150673.2078624345</v>
      </c>
      <c r="E7" t="n">
        <v>9.70707481077257e-05</v>
      </c>
      <c r="F7" t="n">
        <v>547.1089999999385</v>
      </c>
      <c r="G7" t="n">
        <v>255</v>
      </c>
      <c r="H7" t="n">
        <v>2568545</v>
      </c>
      <c r="J7" t="n">
        <v>8.09</v>
      </c>
      <c r="K7">
        <f>B7/J7</f>
        <v/>
      </c>
    </row>
    <row r="8">
      <c r="A8" t="inlineStr">
        <is>
          <t>milp_large_2.xlsx</t>
        </is>
      </c>
      <c r="B8" t="n">
        <v>200</v>
      </c>
      <c r="C8" t="inlineStr">
        <is>
          <t>JobSolveStatus.FEASIBLE_SOLUTION</t>
        </is>
      </c>
      <c r="D8" t="n">
        <v>58026.16231684815</v>
      </c>
      <c r="E8" t="n">
        <v>1.59689632151407</v>
      </c>
      <c r="F8" t="n">
        <v>211.6410000000615</v>
      </c>
      <c r="G8" t="n">
        <v>97</v>
      </c>
      <c r="H8" t="n">
        <v>368160</v>
      </c>
    </row>
    <row r="9">
      <c r="A9" t="inlineStr">
        <is>
          <t>milp_large_2.xlsx</t>
        </is>
      </c>
      <c r="B9" t="n">
        <v>100</v>
      </c>
      <c r="C9" t="inlineStr">
        <is>
          <t>JobSolveStatus.FEASIBLE_SOLUTION</t>
        </is>
      </c>
      <c r="D9" t="n">
        <v>144682.5694432306</v>
      </c>
      <c r="E9" t="n">
        <v>0.04150700341082158</v>
      </c>
      <c r="F9" t="n">
        <v>100.219000000041</v>
      </c>
      <c r="G9" t="n">
        <v>245</v>
      </c>
      <c r="H9" t="n">
        <v>826933</v>
      </c>
    </row>
    <row r="10">
      <c r="A10" t="inlineStr">
        <is>
          <t>milp_large_2.xlsx</t>
        </is>
      </c>
      <c r="B10" t="n">
        <v>60</v>
      </c>
      <c r="C10" t="inlineStr">
        <is>
          <t>JobSolveStatus.FEASIBLE_SOLUTION</t>
        </is>
      </c>
      <c r="D10" t="n">
        <v>53315.80531402363</v>
      </c>
      <c r="E10" t="n">
        <v>1.826327223630149</v>
      </c>
      <c r="F10" t="n">
        <v>60.21899999980815</v>
      </c>
      <c r="G10" t="n">
        <v>89</v>
      </c>
      <c r="H10" t="n">
        <v>934571</v>
      </c>
    </row>
    <row r="11">
      <c r="A11" t="inlineStr">
        <is>
          <t>milp_large_2.xlsx</t>
        </is>
      </c>
      <c r="B11" t="n">
        <v>180</v>
      </c>
      <c r="C11" t="inlineStr">
        <is>
          <t>JobSolveStatus.FEASIBLE_SOLUTION</t>
        </is>
      </c>
      <c r="D11" t="n">
        <v>150661.5340977465</v>
      </c>
      <c r="E11" t="n">
        <v>0.0001747521327975037</v>
      </c>
      <c r="F11" t="n">
        <v>180.2819999998901</v>
      </c>
      <c r="G11" t="n">
        <v>255</v>
      </c>
      <c r="H11" t="n">
        <v>1585881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jason lo</dc:creator>
  <dcterms:created xsi:type="dcterms:W3CDTF">2015-06-05T18:19:34Z</dcterms:created>
  <dcterms:modified xsi:type="dcterms:W3CDTF">2025-12-02T10:19:43Z</dcterms:modified>
  <cp:lastModifiedBy>jason lo</cp:lastModifiedBy>
</cp:coreProperties>
</file>