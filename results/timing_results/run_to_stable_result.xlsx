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20d083484e8fc8/Desktop/專題報告全檔案/"/>
    </mc:Choice>
  </mc:AlternateContent>
  <xr:revisionPtr revIDLastSave="477" documentId="11_AD4DBB64A54DDB1B405E387D751A22014F90DF25" xr6:coauthVersionLast="47" xr6:coauthVersionMax="47" xr10:uidLastSave="{6AC5D186-8B86-43F8-B9E2-5EE0EB3C2BBA}"/>
  <bookViews>
    <workbookView xWindow="-120" yWindow="-120" windowWidth="29040" windowHeight="15720" xr2:uid="{00000000-000D-0000-FFFF-FFFF00000000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F10" i="1"/>
  <c r="F7" i="1"/>
  <c r="F4" i="1"/>
  <c r="G19" i="1"/>
  <c r="G16" i="1"/>
  <c r="G13" i="1"/>
  <c r="G10" i="1"/>
  <c r="G7" i="1"/>
  <c r="G4" i="1"/>
  <c r="F17" i="1"/>
  <c r="F18" i="1"/>
  <c r="F19" i="1" s="1"/>
  <c r="E10" i="1"/>
  <c r="E19" i="1"/>
  <c r="E16" i="1"/>
  <c r="E13" i="1"/>
  <c r="E7" i="1"/>
  <c r="E4" i="1"/>
  <c r="D19" i="1"/>
  <c r="D16" i="1"/>
  <c r="D13" i="1"/>
  <c r="D10" i="1"/>
  <c r="D4" i="1"/>
  <c r="F14" i="1"/>
  <c r="F16" i="1" s="1"/>
  <c r="F11" i="1"/>
  <c r="F13" i="1" s="1"/>
</calcChain>
</file>

<file path=xl/sharedStrings.xml><?xml version="1.0" encoding="utf-8"?>
<sst xmlns="http://schemas.openxmlformats.org/spreadsheetml/2006/main" count="50" uniqueCount="26">
  <si>
    <t>data</t>
    <phoneticPr fontId="1" type="noConversion"/>
  </si>
  <si>
    <t>solvetime</t>
    <phoneticPr fontId="1" type="noConversion"/>
  </si>
  <si>
    <t>objective</t>
    <phoneticPr fontId="1" type="noConversion"/>
  </si>
  <si>
    <t>gap</t>
    <phoneticPr fontId="1" type="noConversion"/>
  </si>
  <si>
    <t>small_1</t>
    <phoneticPr fontId="1" type="noConversion"/>
  </si>
  <si>
    <t>medium_2</t>
    <phoneticPr fontId="1" type="noConversion"/>
  </si>
  <si>
    <t>medium_1</t>
    <phoneticPr fontId="1" type="noConversion"/>
  </si>
  <si>
    <t>small_2</t>
    <phoneticPr fontId="1" type="noConversion"/>
  </si>
  <si>
    <t>large_1</t>
    <phoneticPr fontId="1" type="noConversion"/>
  </si>
  <si>
    <t>large_2</t>
    <phoneticPr fontId="1" type="noConversion"/>
  </si>
  <si>
    <t>status</t>
    <phoneticPr fontId="1" type="noConversion"/>
  </si>
  <si>
    <t>optimal</t>
    <phoneticPr fontId="1" type="noConversion"/>
  </si>
  <si>
    <t>ASTD</t>
    <phoneticPr fontId="1" type="noConversion"/>
  </si>
  <si>
    <t>best feasible</t>
    <phoneticPr fontId="1" type="noConversion"/>
  </si>
  <si>
    <t>model</t>
    <phoneticPr fontId="1" type="noConversion"/>
  </si>
  <si>
    <t>MILP</t>
    <phoneticPr fontId="1" type="noConversion"/>
  </si>
  <si>
    <t>CP</t>
    <phoneticPr fontId="1" type="noConversion"/>
  </si>
  <si>
    <t>task ratio</t>
    <phoneticPr fontId="1" type="noConversion"/>
  </si>
  <si>
    <t>diff ratio</t>
    <phoneticPr fontId="1" type="noConversion"/>
  </si>
  <si>
    <t>opitmal</t>
    <phoneticPr fontId="1" type="noConversion"/>
  </si>
  <si>
    <t>best feasible</t>
  </si>
  <si>
    <t>600秒內能跑出的最佳解</t>
    <phoneticPr fontId="1" type="noConversion"/>
  </si>
  <si>
    <t>stable feasible</t>
  </si>
  <si>
    <t>stable feasible</t>
    <phoneticPr fontId="1" type="noConversion"/>
  </si>
  <si>
    <t>穩定解:往後最少60秒沒有更好的解</t>
    <phoneticPr fontId="1" type="noConversion"/>
  </si>
  <si>
    <t>系統判定的全域最佳解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</si>
</sst>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10" fontId="0" fillId="0" borderId="0" xfId="0" applyNumberFormat="1"/>
    <xf numFmtId="9" fontId="0" fillId="0" borderId="0" xfId="1" applyFont="1" applyAlignment="1"/>
    <xf numFmtId="0" fontId="0" fillId="0" borderId="1" xfId="0" applyBorder="1"/>
    <xf numFmtId="0" fontId="0" fillId="0" borderId="2" xfId="0" applyBorder="1"/>
    <xf numFmtId="9" fontId="0" fillId="0" borderId="2" xfId="1" applyFont="1" applyBorder="1" applyAlignment="1"/>
    <xf numFmtId="9" fontId="0" fillId="0" borderId="3" xfId="1" applyFont="1" applyBorder="1" applyAlignment="1"/>
    <xf numFmtId="10" fontId="0" fillId="0" borderId="2" xfId="0" applyNumberFormat="1" applyBorder="1"/>
    <xf numFmtId="43" fontId="0" fillId="0" borderId="2" xfId="2" applyFont="1" applyBorder="1" applyAlignment="1"/>
  </cellXfs>
  <cellStyles count="3">
    <cellStyle name="一般" xfId="0" builtinId="0"/>
    <cellStyle name="千分位" xfId="2" builtinId="3"/>
    <cellStyle name="百分比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DE4145-0DE7-4255-B834-1A7824862ED5}" name="表格2" displayName="表格2" ref="A1:H19">
  <autoFilter ref="A1:H19" xr:uid="{37DE4145-0DE7-4255-B834-1A7824862E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47ACBCC-01BE-4F77-B075-06857CD13919}" name="data" totalsRowLabel="合計"/>
    <tableColumn id="13" xr3:uid="{2E5A4B08-7B3F-4755-8DF0-F2296E808F97}" name="model"/>
    <tableColumn id="11" xr3:uid="{EB5A5776-AA3F-46C8-B273-DB885B7B133C}" name="status"/>
    <tableColumn id="2" xr3:uid="{EAAA566F-507A-45B5-99FD-2451A3DD2F78}" name="solvetime"/>
    <tableColumn id="3" xr3:uid="{BE3BC1CA-DC05-4F11-9FBD-CA189213C317}" name="objective"/>
    <tableColumn id="12" xr3:uid="{E9319B62-E9EE-48AB-BACE-A3B0CBB4198D}" name="task ratio" dataDxfId="0" dataCellStyle="百分比"/>
    <tableColumn id="14" xr3:uid="{817850F2-02FD-44E6-B075-B93A366AF6EF}" name="ASTD" totalsRowFunction="sum"/>
    <tableColumn id="4" xr3:uid="{0B13292D-6690-425B-9247-31E38DB74309}" name="g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L16" sqref="L16"/>
    </sheetView>
  </sheetViews>
  <sheetFormatPr defaultRowHeight="15.75" x14ac:dyDescent="0.25"/>
  <cols>
    <col min="2" max="2" width="10.7109375" customWidth="1"/>
    <col min="3" max="3" width="12" customWidth="1"/>
    <col min="4" max="4" width="10.5703125" customWidth="1"/>
    <col min="5" max="5" width="13.5703125" bestFit="1" customWidth="1"/>
    <col min="6" max="6" width="10.28515625" customWidth="1"/>
  </cols>
  <sheetData>
    <row r="1" spans="1:8" x14ac:dyDescent="0.25">
      <c r="A1" t="s">
        <v>0</v>
      </c>
      <c r="B1" t="s">
        <v>14</v>
      </c>
      <c r="C1" t="s">
        <v>10</v>
      </c>
      <c r="D1" t="s">
        <v>1</v>
      </c>
      <c r="E1" t="s">
        <v>2</v>
      </c>
      <c r="F1" t="s">
        <v>17</v>
      </c>
      <c r="G1" t="s">
        <v>12</v>
      </c>
      <c r="H1" t="s">
        <v>3</v>
      </c>
    </row>
    <row r="2" spans="1:8" x14ac:dyDescent="0.25">
      <c r="A2" t="s">
        <v>4</v>
      </c>
      <c r="B2" t="s">
        <v>15</v>
      </c>
      <c r="C2" t="s">
        <v>11</v>
      </c>
      <c r="D2">
        <v>24.41</v>
      </c>
      <c r="E2">
        <v>36320.43</v>
      </c>
      <c r="F2" s="2">
        <v>1</v>
      </c>
      <c r="G2">
        <v>0.19802854500192901</v>
      </c>
      <c r="H2" s="1">
        <v>2.0000000000000001E-4</v>
      </c>
    </row>
    <row r="3" spans="1:8" x14ac:dyDescent="0.25">
      <c r="B3" t="s">
        <v>16</v>
      </c>
      <c r="C3" t="s">
        <v>11</v>
      </c>
      <c r="D3">
        <v>2.5099999999999998</v>
      </c>
      <c r="E3">
        <v>36320.43</v>
      </c>
      <c r="F3" s="2">
        <v>1</v>
      </c>
      <c r="G3">
        <v>0.198028549382716</v>
      </c>
      <c r="H3" s="1">
        <v>1E-4</v>
      </c>
    </row>
    <row r="4" spans="1:8" x14ac:dyDescent="0.25">
      <c r="B4" s="3" t="s">
        <v>18</v>
      </c>
      <c r="C4" s="4"/>
      <c r="D4" s="8">
        <f>(D2-D3)/D3</f>
        <v>8.7250996015936249</v>
      </c>
      <c r="E4" s="5">
        <f>(E3-E2)/E3</f>
        <v>0</v>
      </c>
      <c r="F4" s="5">
        <f>(F3-F2)/F3</f>
        <v>0</v>
      </c>
      <c r="G4" s="6">
        <f>(G2-G3)/G3</f>
        <v>-2.2121997039451648E-8</v>
      </c>
      <c r="H4" s="5"/>
    </row>
    <row r="5" spans="1:8" x14ac:dyDescent="0.25">
      <c r="A5" t="s">
        <v>7</v>
      </c>
      <c r="B5" t="s">
        <v>15</v>
      </c>
      <c r="C5" t="s">
        <v>13</v>
      </c>
      <c r="D5">
        <v>1.03</v>
      </c>
      <c r="E5">
        <v>41195.699999999997</v>
      </c>
      <c r="F5" s="2">
        <v>1</v>
      </c>
      <c r="G5">
        <v>0.273311465534336</v>
      </c>
      <c r="H5" s="1">
        <v>2.9999999999999997E-4</v>
      </c>
    </row>
    <row r="6" spans="1:8" x14ac:dyDescent="0.25">
      <c r="B6" t="s">
        <v>16</v>
      </c>
      <c r="C6" t="s">
        <v>11</v>
      </c>
      <c r="D6">
        <v>1.2</v>
      </c>
      <c r="E6">
        <v>41195.699999999997</v>
      </c>
      <c r="F6" s="2">
        <v>1</v>
      </c>
      <c r="G6">
        <v>0.27331147119341498</v>
      </c>
      <c r="H6" s="1">
        <v>1E-4</v>
      </c>
    </row>
    <row r="7" spans="1:8" x14ac:dyDescent="0.25">
      <c r="B7" s="3" t="s">
        <v>18</v>
      </c>
      <c r="C7" s="4"/>
      <c r="D7" s="8">
        <f>(D5-D6)/D6</f>
        <v>-0.14166666666666661</v>
      </c>
      <c r="E7" s="5">
        <f>(E6-E5)/E6</f>
        <v>0</v>
      </c>
      <c r="F7" s="5">
        <f>(F6-F5)/F6</f>
        <v>0</v>
      </c>
      <c r="G7" s="6">
        <f>(G5-G6)/G6</f>
        <v>-2.070560360488963E-8</v>
      </c>
      <c r="H7" s="5"/>
    </row>
    <row r="8" spans="1:8" x14ac:dyDescent="0.25">
      <c r="A8" t="s">
        <v>6</v>
      </c>
      <c r="B8" t="s">
        <v>15</v>
      </c>
      <c r="C8" t="s">
        <v>13</v>
      </c>
      <c r="D8">
        <v>169.05</v>
      </c>
      <c r="E8">
        <v>61631.99</v>
      </c>
      <c r="F8" s="2">
        <v>1</v>
      </c>
      <c r="G8">
        <v>0.230699016990981</v>
      </c>
      <c r="H8" s="1">
        <v>1E-3</v>
      </c>
    </row>
    <row r="9" spans="1:8" x14ac:dyDescent="0.25">
      <c r="B9" t="s">
        <v>16</v>
      </c>
      <c r="C9" t="s">
        <v>13</v>
      </c>
      <c r="D9">
        <v>3.29</v>
      </c>
      <c r="E9">
        <v>61635.44</v>
      </c>
      <c r="F9" s="2">
        <v>1</v>
      </c>
      <c r="G9">
        <v>0.229309172453703</v>
      </c>
      <c r="H9" s="1">
        <v>2.7000000000000001E-3</v>
      </c>
    </row>
    <row r="10" spans="1:8" x14ac:dyDescent="0.25">
      <c r="B10" s="3" t="s">
        <v>18</v>
      </c>
      <c r="C10" s="4"/>
      <c r="D10" s="8">
        <f>(D8-D9)/D9</f>
        <v>50.382978723404264</v>
      </c>
      <c r="E10" s="5">
        <f>(E9-E8)/E9</f>
        <v>5.5974290116276695E-5</v>
      </c>
      <c r="F10" s="5">
        <f>(F9-F8)/F9</f>
        <v>0</v>
      </c>
      <c r="G10" s="6">
        <f>(G8-G9)/G9</f>
        <v>6.0610071651564989E-3</v>
      </c>
      <c r="H10" s="5"/>
    </row>
    <row r="11" spans="1:8" x14ac:dyDescent="0.25">
      <c r="A11" t="s">
        <v>5</v>
      </c>
      <c r="B11" t="s">
        <v>15</v>
      </c>
      <c r="C11" t="s">
        <v>23</v>
      </c>
      <c r="D11">
        <v>60.11</v>
      </c>
      <c r="E11">
        <v>65970.06</v>
      </c>
      <c r="F11" s="2">
        <f>111/112</f>
        <v>0.9910714285714286</v>
      </c>
      <c r="G11">
        <v>0.28748644537603402</v>
      </c>
      <c r="H11" s="1">
        <v>1.06E-2</v>
      </c>
    </row>
    <row r="12" spans="1:8" x14ac:dyDescent="0.25">
      <c r="B12" t="s">
        <v>16</v>
      </c>
      <c r="C12" t="s">
        <v>13</v>
      </c>
      <c r="D12">
        <v>2.74</v>
      </c>
      <c r="E12">
        <v>66586.42</v>
      </c>
      <c r="F12" s="2">
        <v>1</v>
      </c>
      <c r="G12">
        <v>0.27154730902777702</v>
      </c>
      <c r="H12" s="1">
        <v>2.3999999999999998E-3</v>
      </c>
    </row>
    <row r="13" spans="1:8" x14ac:dyDescent="0.25">
      <c r="B13" s="3" t="s">
        <v>18</v>
      </c>
      <c r="C13" s="4"/>
      <c r="D13" s="8">
        <f>(D11-D12)/D12</f>
        <v>20.93795620437956</v>
      </c>
      <c r="E13" s="5">
        <f>(E12-E11)/E12</f>
        <v>9.2565420997254479E-3</v>
      </c>
      <c r="F13" s="5">
        <f>(F12-F11)/F12</f>
        <v>8.9285714285713969E-3</v>
      </c>
      <c r="G13" s="6">
        <f>(G11-G12)/G12</f>
        <v>5.8697456459148922E-2</v>
      </c>
      <c r="H13" s="5"/>
    </row>
    <row r="14" spans="1:8" x14ac:dyDescent="0.25">
      <c r="A14" t="s">
        <v>8</v>
      </c>
      <c r="B14" t="s">
        <v>15</v>
      </c>
      <c r="C14" t="s">
        <v>23</v>
      </c>
      <c r="D14">
        <v>110.8</v>
      </c>
      <c r="E14">
        <v>105086.22</v>
      </c>
      <c r="F14" s="2">
        <f>177/193</f>
        <v>0.91709844559585496</v>
      </c>
      <c r="G14">
        <v>0.10392467903033401</v>
      </c>
      <c r="H14" s="1">
        <v>9.0999999999999998E-2</v>
      </c>
    </row>
    <row r="15" spans="1:8" x14ac:dyDescent="0.25">
      <c r="B15" t="s">
        <v>16</v>
      </c>
      <c r="C15" t="s">
        <v>13</v>
      </c>
      <c r="D15">
        <v>18.27</v>
      </c>
      <c r="E15">
        <v>114383.8</v>
      </c>
      <c r="F15" s="2">
        <v>1</v>
      </c>
      <c r="G15">
        <v>0.15689566798941801</v>
      </c>
      <c r="H15" s="1">
        <v>7.1000000000000004E-3</v>
      </c>
    </row>
    <row r="16" spans="1:8" x14ac:dyDescent="0.25">
      <c r="B16" s="3" t="s">
        <v>18</v>
      </c>
      <c r="C16" s="4"/>
      <c r="D16" s="8">
        <f>(D14-D15)/D15</f>
        <v>5.0645867542419269</v>
      </c>
      <c r="E16" s="5">
        <f>(E15-E14)/E15</f>
        <v>8.1284062952970623E-2</v>
      </c>
      <c r="F16" s="5">
        <f>(F15-F14)/F15</f>
        <v>8.2901554404145039E-2</v>
      </c>
      <c r="G16" s="6">
        <f>(G14-G15)/G15</f>
        <v>-0.33761919393884532</v>
      </c>
      <c r="H16" s="5"/>
    </row>
    <row r="17" spans="1:8" x14ac:dyDescent="0.25">
      <c r="A17" t="s">
        <v>9</v>
      </c>
      <c r="B17" t="s">
        <v>15</v>
      </c>
      <c r="C17" t="s">
        <v>23</v>
      </c>
      <c r="D17">
        <v>97.67</v>
      </c>
      <c r="E17">
        <v>144682.57</v>
      </c>
      <c r="F17" s="2">
        <f>245/266</f>
        <v>0.92105263157894735</v>
      </c>
      <c r="G17">
        <v>6.4392856212677693E-2</v>
      </c>
      <c r="H17" s="1">
        <v>4.1500000000000002E-2</v>
      </c>
    </row>
    <row r="18" spans="1:8" x14ac:dyDescent="0.25">
      <c r="B18" t="s">
        <v>16</v>
      </c>
      <c r="C18" t="s">
        <v>13</v>
      </c>
      <c r="D18">
        <v>8.4499999999999993</v>
      </c>
      <c r="E18">
        <v>150674.1</v>
      </c>
      <c r="F18" s="2">
        <f>255/266</f>
        <v>0.95864661654135341</v>
      </c>
      <c r="G18">
        <v>3.2840887762762699E-2</v>
      </c>
      <c r="H18" s="1">
        <v>1.15E-2</v>
      </c>
    </row>
    <row r="19" spans="1:8" x14ac:dyDescent="0.25">
      <c r="B19" s="3" t="s">
        <v>18</v>
      </c>
      <c r="C19" s="4"/>
      <c r="D19" s="8">
        <f>(D17-D18)/D18</f>
        <v>10.558579881656806</v>
      </c>
      <c r="E19" s="5">
        <f>(E18-E17)/E18</f>
        <v>3.9764830186475301E-2</v>
      </c>
      <c r="F19" s="5">
        <f>(F18-F17)/F18</f>
        <v>3.9215686274509859E-2</v>
      </c>
      <c r="G19" s="6">
        <f>(G17-G18)/G18</f>
        <v>0.96075260443144372</v>
      </c>
      <c r="H19" s="7"/>
    </row>
    <row r="21" spans="1:8" x14ac:dyDescent="0.25">
      <c r="C21" t="s">
        <v>19</v>
      </c>
      <c r="D21" t="s">
        <v>25</v>
      </c>
    </row>
    <row r="22" spans="1:8" x14ac:dyDescent="0.25">
      <c r="C22" t="s">
        <v>20</v>
      </c>
      <c r="D22" t="s">
        <v>21</v>
      </c>
    </row>
    <row r="23" spans="1:8" x14ac:dyDescent="0.25">
      <c r="C23" t="s">
        <v>22</v>
      </c>
      <c r="D23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lo</dc:creator>
  <cp:lastModifiedBy>jason lo</cp:lastModifiedBy>
  <dcterms:created xsi:type="dcterms:W3CDTF">2015-06-05T18:19:34Z</dcterms:created>
  <dcterms:modified xsi:type="dcterms:W3CDTF">2025-12-02T12:41:54Z</dcterms:modified>
</cp:coreProperties>
</file>